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/>
  <mc:AlternateContent xmlns:mc="http://schemas.openxmlformats.org/markup-compatibility/2006">
    <mc:Choice Requires="x15">
      <x15ac:absPath xmlns:x15ac="http://schemas.microsoft.com/office/spreadsheetml/2010/11/ac" url="C:\Users\marcusjunior\Downloads\"/>
    </mc:Choice>
  </mc:AlternateContent>
  <xr:revisionPtr revIDLastSave="0" documentId="8_{DAF6C847-D3F2-4BEC-85A0-99C2302ACEB9}" xr6:coauthVersionLast="47" xr6:coauthVersionMax="47" xr10:uidLastSave="{00000000-0000-0000-0000-000000000000}"/>
  <bookViews>
    <workbookView xWindow="0" yWindow="0" windowWidth="10770" windowHeight="12360" xr2:uid="{00000000-000D-0000-FFFF-FFFF00000000}"/>
  </bookViews>
  <sheets>
    <sheet name="Cálculo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2" l="1"/>
  <c r="J7" i="2"/>
  <c r="I25" i="2"/>
  <c r="C25" i="2"/>
  <c r="F25" i="2"/>
  <c r="I24" i="2"/>
  <c r="C24" i="2"/>
  <c r="F24" i="2"/>
  <c r="D22" i="2"/>
  <c r="I23" i="2"/>
  <c r="J23" i="2"/>
  <c r="C23" i="2"/>
  <c r="F23" i="2"/>
  <c r="I22" i="2"/>
  <c r="J25" i="2"/>
  <c r="C22" i="2"/>
  <c r="F22" i="2"/>
  <c r="G22" i="2"/>
  <c r="J22" i="2"/>
  <c r="I17" i="2"/>
  <c r="J17" i="2"/>
  <c r="C17" i="2"/>
  <c r="F17" i="2"/>
  <c r="I16" i="2"/>
  <c r="J16" i="2"/>
  <c r="C16" i="2"/>
  <c r="F16" i="2"/>
  <c r="I15" i="2"/>
  <c r="J15" i="2"/>
  <c r="C15" i="2"/>
  <c r="F15" i="2"/>
  <c r="C14" i="2"/>
  <c r="F14" i="2"/>
  <c r="G14" i="2"/>
  <c r="I14" i="2"/>
  <c r="J14" i="2"/>
  <c r="F7" i="2"/>
  <c r="C7" i="2"/>
  <c r="I6" i="2"/>
  <c r="J6" i="2"/>
  <c r="F6" i="2"/>
  <c r="C6" i="2"/>
  <c r="I5" i="2"/>
  <c r="J5" i="2"/>
  <c r="F5" i="2"/>
  <c r="C5" i="2"/>
  <c r="I4" i="2"/>
  <c r="F4" i="2"/>
  <c r="G4" i="2"/>
  <c r="J4" i="2"/>
  <c r="C4" i="2"/>
  <c r="J24" i="2"/>
</calcChain>
</file>

<file path=xl/sharedStrings.xml><?xml version="1.0" encoding="utf-8"?>
<sst xmlns="http://schemas.openxmlformats.org/spreadsheetml/2006/main" count="51" uniqueCount="21">
  <si>
    <t>PLANILHA DE CÁLCULO DE DIÁRIAS / COM ADICIONAL DE EMBARQUE COMPLETO</t>
  </si>
  <si>
    <t>Cargo</t>
  </si>
  <si>
    <t>Valor da Diária</t>
  </si>
  <si>
    <t>Meia Diária</t>
  </si>
  <si>
    <t>Adicional de Embarque</t>
  </si>
  <si>
    <t>Total de Diárias</t>
  </si>
  <si>
    <t>Descontos</t>
  </si>
  <si>
    <t>Total a Receber</t>
  </si>
  <si>
    <t>Teto LDO</t>
  </si>
  <si>
    <t>Valor do Corte</t>
  </si>
  <si>
    <t>Dias do Auxílio</t>
  </si>
  <si>
    <t>Valor Auxílio</t>
  </si>
  <si>
    <t>Juiz</t>
  </si>
  <si>
    <t>Cargos em Comissão</t>
  </si>
  <si>
    <t>Analista Judiciário</t>
  </si>
  <si>
    <t>Técnico Judiciário</t>
  </si>
  <si>
    <t>Limite LDO</t>
  </si>
  <si>
    <t>Auxílio</t>
  </si>
  <si>
    <t xml:space="preserve">PLANILHA DE CÁLCULO DE DIÁRIAS / SEM ADICIONAL DE EMBARQUE </t>
  </si>
  <si>
    <t>PLANILHA DE CÁLCULO DE DIÁRIAS / COM ADICIONAL DE EMBARQUE PELA METADE</t>
  </si>
  <si>
    <t>Observação: Os cálculos desta planilha só devem ser utilizados SOMENTE quando o número de diárias NÃO for inteiro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</si>
</sst>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R$ -416]* #,##0.00_);_([$R$ -416]* \(#,##0.00\);_([$R$ -416]* &quot;-&quot;??_);_(@_)"/>
    <numFmt numFmtId="165" formatCode="[$R$ -416]#,##0.00"/>
    <numFmt numFmtId="166" formatCode="#,##0.0"/>
  </numFmts>
  <fonts count="6">
    <font>
      <sz val="10"/>
      <color rgb="FF000000"/>
      <name val="Arial"/>
      <scheme val="minor"/>
    </font>
    <font>
      <b/>
      <sz val="11"/>
      <color theme="1"/>
      <name val="Arial"/>
      <scheme val="minor"/>
    </font>
    <font>
      <sz val="10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1"/>
      <color rgb="FF000000"/>
      <name val="Arial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6D9EEB"/>
        <bgColor rgb="FF6D9EEB"/>
      </patternFill>
    </fill>
    <fill>
      <patternFill patternType="solid">
        <fgColor rgb="FFEFEFEF"/>
        <bgColor rgb="FFEFEFEF"/>
      </patternFill>
    </fill>
    <fill>
      <patternFill patternType="solid">
        <fgColor rgb="FFE06666"/>
        <bgColor rgb="FFE06666"/>
      </patternFill>
    </fill>
    <fill>
      <patternFill patternType="solid">
        <fgColor rgb="FF3D85C6"/>
        <bgColor rgb="FF3D85C6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rgb="FF6FA8DC"/>
        <bgColor rgb="FF6FA8DC"/>
      </patternFill>
    </fill>
    <fill>
      <patternFill patternType="solid">
        <fgColor rgb="FF9FC5E8"/>
        <bgColor rgb="FF9FC5E8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FF9900"/>
        <bgColor rgb="FFFF9900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53">
    <xf numFmtId="0" fontId="0" fillId="0" borderId="0" xfId="0" applyFont="1" applyAlignment="1"/>
    <xf numFmtId="0" fontId="3" fillId="5" borderId="4" xfId="0" applyFont="1" applyFill="1" applyBorder="1" applyAlignment="1">
      <alignment horizontal="center"/>
    </xf>
    <xf numFmtId="0" fontId="3" fillId="7" borderId="10" xfId="0" applyFont="1" applyFill="1" applyBorder="1" applyAlignment="1"/>
    <xf numFmtId="164" fontId="4" fillId="0" borderId="11" xfId="0" applyNumberFormat="1" applyFont="1" applyBorder="1" applyAlignment="1"/>
    <xf numFmtId="166" fontId="4" fillId="8" borderId="4" xfId="0" applyNumberFormat="1" applyFont="1" applyFill="1" applyBorder="1" applyAlignment="1">
      <alignment horizontal="center"/>
    </xf>
    <xf numFmtId="164" fontId="4" fillId="0" borderId="13" xfId="0" applyNumberFormat="1" applyFont="1" applyBorder="1" applyAlignment="1">
      <alignment horizontal="center" vertical="center"/>
    </xf>
    <xf numFmtId="164" fontId="4" fillId="0" borderId="14" xfId="0" applyNumberFormat="1" applyFont="1" applyBorder="1" applyAlignment="1">
      <alignment horizontal="center"/>
    </xf>
    <xf numFmtId="0" fontId="4" fillId="8" borderId="4" xfId="0" applyFont="1" applyFill="1" applyBorder="1" applyAlignment="1">
      <alignment horizontal="center"/>
    </xf>
    <xf numFmtId="164" fontId="4" fillId="0" borderId="15" xfId="0" applyNumberFormat="1" applyFont="1" applyBorder="1" applyAlignment="1">
      <alignment horizontal="center"/>
    </xf>
    <xf numFmtId="164" fontId="3" fillId="9" borderId="8" xfId="0" applyNumberFormat="1" applyFont="1" applyFill="1" applyBorder="1" applyAlignment="1">
      <alignment horizontal="center"/>
    </xf>
    <xf numFmtId="0" fontId="3" fillId="10" borderId="16" xfId="0" applyFont="1" applyFill="1" applyBorder="1" applyAlignment="1"/>
    <xf numFmtId="164" fontId="4" fillId="0" borderId="17" xfId="0" applyNumberFormat="1" applyFont="1" applyBorder="1" applyAlignment="1"/>
    <xf numFmtId="164" fontId="4" fillId="0" borderId="19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  <xf numFmtId="164" fontId="3" fillId="9" borderId="22" xfId="0" applyNumberFormat="1" applyFont="1" applyFill="1" applyBorder="1" applyAlignment="1">
      <alignment horizontal="center"/>
    </xf>
    <xf numFmtId="0" fontId="3" fillId="11" borderId="16" xfId="0" applyFont="1" applyFill="1" applyBorder="1" applyAlignment="1"/>
    <xf numFmtId="0" fontId="3" fillId="12" borderId="23" xfId="0" applyFont="1" applyFill="1" applyBorder="1" applyAlignment="1"/>
    <xf numFmtId="164" fontId="4" fillId="0" borderId="24" xfId="0" applyNumberFormat="1" applyFont="1" applyBorder="1" applyAlignment="1"/>
    <xf numFmtId="164" fontId="4" fillId="0" borderId="26" xfId="0" applyNumberFormat="1" applyFont="1" applyBorder="1" applyAlignment="1">
      <alignment horizontal="center" vertical="center"/>
    </xf>
    <xf numFmtId="0" fontId="4" fillId="0" borderId="27" xfId="0" applyFont="1" applyBorder="1" applyAlignment="1">
      <alignment horizontal="center"/>
    </xf>
    <xf numFmtId="164" fontId="4" fillId="0" borderId="28" xfId="0" applyNumberFormat="1" applyFont="1" applyBorder="1" applyAlignment="1">
      <alignment horizontal="center"/>
    </xf>
    <xf numFmtId="164" fontId="3" fillId="9" borderId="9" xfId="0" applyNumberFormat="1" applyFont="1" applyFill="1" applyBorder="1" applyAlignment="1">
      <alignment horizontal="center"/>
    </xf>
    <xf numFmtId="0" fontId="3" fillId="13" borderId="10" xfId="0" applyFont="1" applyFill="1" applyBorder="1" applyAlignment="1"/>
    <xf numFmtId="0" fontId="3" fillId="13" borderId="23" xfId="0" applyFont="1" applyFill="1" applyBorder="1" applyAlignment="1"/>
    <xf numFmtId="164" fontId="4" fillId="0" borderId="31" xfId="0" applyNumberFormat="1" applyFont="1" applyBorder="1" applyAlignment="1">
      <alignment horizontal="center" vertical="center"/>
    </xf>
    <xf numFmtId="0" fontId="4" fillId="0" borderId="21" xfId="0" applyFont="1" applyBorder="1" applyAlignment="1">
      <alignment horizontal="center"/>
    </xf>
    <xf numFmtId="164" fontId="4" fillId="0" borderId="4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164" fontId="4" fillId="0" borderId="8" xfId="0" applyNumberFormat="1" applyFont="1" applyBorder="1" applyAlignment="1">
      <alignment horizontal="center" vertical="center"/>
    </xf>
    <xf numFmtId="0" fontId="1" fillId="3" borderId="32" xfId="0" applyFont="1" applyFill="1" applyBorder="1" applyAlignment="1">
      <alignment horizontal="center" vertical="center"/>
    </xf>
    <xf numFmtId="0" fontId="2" fillId="0" borderId="33" xfId="0" applyFont="1" applyBorder="1" applyAlignment="1"/>
    <xf numFmtId="0" fontId="2" fillId="0" borderId="34" xfId="0" applyFont="1" applyBorder="1" applyAlignment="1"/>
    <xf numFmtId="0" fontId="2" fillId="0" borderId="5" xfId="0" applyFont="1" applyBorder="1" applyAlignment="1"/>
    <xf numFmtId="0" fontId="2" fillId="0" borderId="6" xfId="0" applyFont="1" applyBorder="1" applyAlignment="1"/>
    <xf numFmtId="0" fontId="2" fillId="0" borderId="7" xfId="0" applyFont="1" applyBorder="1" applyAlignment="1"/>
    <xf numFmtId="0" fontId="3" fillId="6" borderId="1" xfId="0" applyFont="1" applyFill="1" applyBorder="1" applyAlignment="1">
      <alignment horizont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3" fillId="2" borderId="8" xfId="0" applyFont="1" applyFill="1" applyBorder="1" applyAlignment="1">
      <alignment horizontal="center" vertical="center"/>
    </xf>
    <xf numFmtId="0" fontId="2" fillId="0" borderId="9" xfId="0" applyFont="1" applyBorder="1" applyAlignment="1"/>
    <xf numFmtId="0" fontId="5" fillId="14" borderId="1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 wrapText="1"/>
    </xf>
    <xf numFmtId="164" fontId="4" fillId="0" borderId="12" xfId="0" applyNumberFormat="1" applyFont="1" applyBorder="1" applyAlignment="1">
      <alignment horizontal="center" vertical="center"/>
    </xf>
    <xf numFmtId="0" fontId="2" fillId="0" borderId="18" xfId="0" applyFont="1" applyBorder="1" applyAlignment="1"/>
    <xf numFmtId="0" fontId="2" fillId="0" borderId="25" xfId="0" applyFont="1" applyBorder="1" applyAlignment="1"/>
    <xf numFmtId="0" fontId="5" fillId="4" borderId="1" xfId="0" applyFont="1" applyFill="1" applyBorder="1" applyAlignment="1">
      <alignment horizontal="center" vertical="center"/>
    </xf>
    <xf numFmtId="165" fontId="3" fillId="13" borderId="14" xfId="0" applyNumberFormat="1" applyFont="1" applyFill="1" applyBorder="1" applyAlignment="1"/>
    <xf numFmtId="0" fontId="2" fillId="0" borderId="29" xfId="0" applyFont="1" applyBorder="1" applyAlignment="1"/>
    <xf numFmtId="165" fontId="3" fillId="13" borderId="27" xfId="0" applyNumberFormat="1" applyFont="1" applyFill="1" applyBorder="1" applyAlignment="1"/>
    <xf numFmtId="0" fontId="2" fillId="0" borderId="30" xfId="0" applyFont="1" applyBorder="1" applyAlignment="1"/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8"/>
  <sheetViews>
    <sheetView tabSelected="1" workbookViewId="0">
      <selection activeCell="A19" sqref="A19:J19"/>
    </sheetView>
  </sheetViews>
  <sheetFormatPr defaultColWidth="12.5703125" defaultRowHeight="15.75" customHeight="1"/>
  <cols>
    <col min="1" max="1" width="18.140625" customWidth="1"/>
    <col min="2" max="2" width="12.5703125" customWidth="1"/>
    <col min="3" max="3" width="11.42578125" bestFit="1" customWidth="1"/>
    <col min="4" max="4" width="22.7109375" bestFit="1" customWidth="1"/>
    <col min="5" max="5" width="13.28515625" customWidth="1"/>
    <col min="6" max="6" width="12" customWidth="1"/>
    <col min="7" max="7" width="14.28515625" bestFit="1" customWidth="1"/>
    <col min="10" max="10" width="14.5703125" customWidth="1"/>
  </cols>
  <sheetData>
    <row r="1" spans="1:10" ht="20.25" customHeight="1">
      <c r="A1" s="47" t="s">
        <v>0</v>
      </c>
      <c r="B1" s="37"/>
      <c r="C1" s="37"/>
      <c r="D1" s="37"/>
      <c r="E1" s="37"/>
      <c r="F1" s="37"/>
      <c r="G1" s="37"/>
      <c r="H1" s="37"/>
      <c r="I1" s="37"/>
      <c r="J1" s="38"/>
    </row>
    <row r="2" spans="1:10" ht="12.75">
      <c r="A2" s="42" t="s">
        <v>1</v>
      </c>
      <c r="B2" s="42" t="s">
        <v>2</v>
      </c>
      <c r="C2" s="42" t="s">
        <v>3</v>
      </c>
      <c r="D2" s="43" t="s">
        <v>4</v>
      </c>
      <c r="E2" s="42" t="s">
        <v>5</v>
      </c>
      <c r="F2" s="36" t="s">
        <v>6</v>
      </c>
      <c r="G2" s="37"/>
      <c r="H2" s="37"/>
      <c r="I2" s="38"/>
      <c r="J2" s="39" t="s">
        <v>7</v>
      </c>
    </row>
    <row r="3" spans="1:10" ht="12.75">
      <c r="A3" s="40"/>
      <c r="B3" s="40"/>
      <c r="C3" s="40"/>
      <c r="D3" s="40"/>
      <c r="E3" s="40"/>
      <c r="F3" s="1" t="s">
        <v>8</v>
      </c>
      <c r="G3" s="1" t="s">
        <v>9</v>
      </c>
      <c r="H3" s="1" t="s">
        <v>10</v>
      </c>
      <c r="I3" s="1" t="s">
        <v>11</v>
      </c>
      <c r="J3" s="40"/>
    </row>
    <row r="4" spans="1:10" ht="12.75">
      <c r="A4" s="2" t="s">
        <v>12</v>
      </c>
      <c r="B4" s="3">
        <v>1393.6</v>
      </c>
      <c r="C4" s="3">
        <f t="shared" ref="C4:C7" si="0">B4/2</f>
        <v>696.8</v>
      </c>
      <c r="D4" s="44">
        <v>586.78</v>
      </c>
      <c r="E4" s="4">
        <v>2.5</v>
      </c>
      <c r="F4" s="5">
        <f t="shared" ref="F4:F7" si="1">(E4+0.5)*$G$8</f>
        <v>3318.6000000000004</v>
      </c>
      <c r="G4" s="6">
        <f>(E4*B4+$D$4)-F4</f>
        <v>752.17999999999938</v>
      </c>
      <c r="H4" s="7">
        <v>2.5</v>
      </c>
      <c r="I4" s="8">
        <f t="shared" ref="I4:I7" si="2">($G$9/22)*H4</f>
        <v>165.95454545454547</v>
      </c>
      <c r="J4" s="9">
        <f t="shared" ref="J4:J7" si="3">B4*E4+$D$4-G4-I4</f>
        <v>3152.6454545454549</v>
      </c>
    </row>
    <row r="5" spans="1:10" ht="12.75">
      <c r="A5" s="10" t="s">
        <v>13</v>
      </c>
      <c r="B5" s="11">
        <v>880.17</v>
      </c>
      <c r="C5" s="11">
        <f t="shared" si="0"/>
        <v>440.08499999999998</v>
      </c>
      <c r="D5" s="45"/>
      <c r="E5" s="4">
        <v>2.5</v>
      </c>
      <c r="F5" s="12">
        <f t="shared" si="1"/>
        <v>3318.6000000000004</v>
      </c>
      <c r="G5" s="13"/>
      <c r="H5" s="7">
        <v>0</v>
      </c>
      <c r="I5" s="14">
        <f t="shared" si="2"/>
        <v>0</v>
      </c>
      <c r="J5" s="15">
        <f t="shared" si="3"/>
        <v>2787.2049999999999</v>
      </c>
    </row>
    <row r="6" spans="1:10" ht="12.75">
      <c r="A6" s="16" t="s">
        <v>14</v>
      </c>
      <c r="B6" s="11">
        <v>806.82</v>
      </c>
      <c r="C6" s="11">
        <f t="shared" si="0"/>
        <v>403.41</v>
      </c>
      <c r="D6" s="45"/>
      <c r="E6" s="4">
        <v>2.5</v>
      </c>
      <c r="F6" s="12">
        <f t="shared" si="1"/>
        <v>3318.6000000000004</v>
      </c>
      <c r="G6" s="13"/>
      <c r="H6" s="7">
        <v>0</v>
      </c>
      <c r="I6" s="14">
        <f t="shared" si="2"/>
        <v>0</v>
      </c>
      <c r="J6" s="15">
        <f t="shared" si="3"/>
        <v>2603.83</v>
      </c>
    </row>
    <row r="7" spans="1:10" ht="12.75">
      <c r="A7" s="17" t="s">
        <v>15</v>
      </c>
      <c r="B7" s="18">
        <v>660.13</v>
      </c>
      <c r="C7" s="18">
        <f t="shared" si="0"/>
        <v>330.065</v>
      </c>
      <c r="D7" s="46"/>
      <c r="E7" s="4">
        <v>1</v>
      </c>
      <c r="F7" s="19">
        <f t="shared" si="1"/>
        <v>1659.3000000000002</v>
      </c>
      <c r="G7" s="20"/>
      <c r="H7" s="7">
        <v>0</v>
      </c>
      <c r="I7" s="8">
        <f t="shared" si="2"/>
        <v>0</v>
      </c>
      <c r="J7" s="22">
        <f>B7*E7+$D$4-G7-I7</f>
        <v>1246.9099999999999</v>
      </c>
    </row>
    <row r="8" spans="1:10" ht="12.75">
      <c r="F8" s="23" t="s">
        <v>16</v>
      </c>
      <c r="G8" s="48">
        <v>1106.2</v>
      </c>
      <c r="H8" s="49"/>
    </row>
    <row r="9" spans="1:10" ht="12.75">
      <c r="F9" s="24" t="s">
        <v>17</v>
      </c>
      <c r="G9" s="50">
        <v>1460.4</v>
      </c>
      <c r="H9" s="51"/>
    </row>
    <row r="10" spans="1:10" ht="9" customHeight="1"/>
    <row r="11" spans="1:10" ht="13.5">
      <c r="A11" s="52" t="s">
        <v>18</v>
      </c>
      <c r="B11" s="37"/>
      <c r="C11" s="37"/>
      <c r="D11" s="37"/>
      <c r="E11" s="37"/>
      <c r="F11" s="37"/>
      <c r="G11" s="37"/>
      <c r="H11" s="37"/>
      <c r="I11" s="37"/>
      <c r="J11" s="38"/>
    </row>
    <row r="12" spans="1:10" ht="12.75">
      <c r="A12" s="42" t="s">
        <v>1</v>
      </c>
      <c r="B12" s="42" t="s">
        <v>2</v>
      </c>
      <c r="C12" s="42" t="s">
        <v>3</v>
      </c>
      <c r="D12" s="43" t="s">
        <v>4</v>
      </c>
      <c r="E12" s="42" t="s">
        <v>5</v>
      </c>
      <c r="F12" s="36" t="s">
        <v>6</v>
      </c>
      <c r="G12" s="37"/>
      <c r="H12" s="37"/>
      <c r="I12" s="38"/>
      <c r="J12" s="39" t="s">
        <v>7</v>
      </c>
    </row>
    <row r="13" spans="1:10" ht="12.75">
      <c r="A13" s="40"/>
      <c r="B13" s="40"/>
      <c r="C13" s="40"/>
      <c r="D13" s="40"/>
      <c r="E13" s="40"/>
      <c r="F13" s="1" t="s">
        <v>8</v>
      </c>
      <c r="G13" s="1" t="s">
        <v>9</v>
      </c>
      <c r="H13" s="1" t="s">
        <v>10</v>
      </c>
      <c r="I13" s="1" t="s">
        <v>11</v>
      </c>
      <c r="J13" s="40"/>
    </row>
    <row r="14" spans="1:10" ht="12.75">
      <c r="A14" s="2" t="s">
        <v>12</v>
      </c>
      <c r="B14" s="3">
        <v>1393.6</v>
      </c>
      <c r="C14" s="3">
        <f t="shared" ref="C14:C17" si="4">B14/2</f>
        <v>696.8</v>
      </c>
      <c r="D14" s="44">
        <v>0</v>
      </c>
      <c r="E14" s="4">
        <v>4.5</v>
      </c>
      <c r="F14" s="25">
        <f t="shared" ref="F14:F17" si="5">(E14-0.5)*$G$8+(C14+D14)</f>
        <v>5121.6000000000004</v>
      </c>
      <c r="G14" s="8">
        <f>(E14*B14)-F14</f>
        <v>1149.5999999999995</v>
      </c>
      <c r="H14" s="7">
        <v>4.5</v>
      </c>
      <c r="I14" s="8">
        <f t="shared" ref="I14:I17" si="6">($G$9/22)*H14</f>
        <v>298.71818181818185</v>
      </c>
      <c r="J14" s="9">
        <f t="shared" ref="J14:J17" si="7">B14*E14+$D$14-G14-I14</f>
        <v>4822.8818181818187</v>
      </c>
    </row>
    <row r="15" spans="1:10" ht="12.75">
      <c r="A15" s="10" t="s">
        <v>13</v>
      </c>
      <c r="B15" s="11">
        <v>880.17</v>
      </c>
      <c r="C15" s="11">
        <f t="shared" si="4"/>
        <v>440.08499999999998</v>
      </c>
      <c r="D15" s="45"/>
      <c r="E15" s="4"/>
      <c r="F15" s="25">
        <f t="shared" si="5"/>
        <v>-113.01500000000004</v>
      </c>
      <c r="G15" s="26"/>
      <c r="H15" s="7">
        <v>4.5</v>
      </c>
      <c r="I15" s="14">
        <f t="shared" si="6"/>
        <v>298.71818181818185</v>
      </c>
      <c r="J15" s="15">
        <f t="shared" si="7"/>
        <v>-298.71818181818185</v>
      </c>
    </row>
    <row r="16" spans="1:10" ht="12.75">
      <c r="A16" s="16" t="s">
        <v>14</v>
      </c>
      <c r="B16" s="11">
        <v>806.82</v>
      </c>
      <c r="C16" s="11">
        <f t="shared" si="4"/>
        <v>403.41</v>
      </c>
      <c r="D16" s="45"/>
      <c r="E16" s="4">
        <v>4.5</v>
      </c>
      <c r="F16" s="25">
        <f t="shared" si="5"/>
        <v>4828.21</v>
      </c>
      <c r="G16" s="26"/>
      <c r="H16" s="7">
        <v>4.5</v>
      </c>
      <c r="I16" s="14">
        <f t="shared" si="6"/>
        <v>298.71818181818185</v>
      </c>
      <c r="J16" s="15">
        <f t="shared" si="7"/>
        <v>3331.971818181818</v>
      </c>
    </row>
    <row r="17" spans="1:10" ht="12.75">
      <c r="A17" s="17" t="s">
        <v>15</v>
      </c>
      <c r="B17" s="18">
        <v>660.13</v>
      </c>
      <c r="C17" s="18">
        <f t="shared" si="4"/>
        <v>330.065</v>
      </c>
      <c r="D17" s="46"/>
      <c r="E17" s="4">
        <v>4.5</v>
      </c>
      <c r="F17" s="27">
        <f t="shared" si="5"/>
        <v>4754.8649999999998</v>
      </c>
      <c r="G17" s="28"/>
      <c r="H17" s="7">
        <v>4.5</v>
      </c>
      <c r="I17" s="21">
        <f t="shared" si="6"/>
        <v>298.71818181818185</v>
      </c>
      <c r="J17" s="22">
        <f t="shared" si="7"/>
        <v>2671.8668181818184</v>
      </c>
    </row>
    <row r="18" spans="1:10" ht="9" customHeight="1"/>
    <row r="19" spans="1:10" ht="13.5">
      <c r="A19" s="41" t="s">
        <v>19</v>
      </c>
      <c r="B19" s="37"/>
      <c r="C19" s="37"/>
      <c r="D19" s="37"/>
      <c r="E19" s="37"/>
      <c r="F19" s="37"/>
      <c r="G19" s="37"/>
      <c r="H19" s="37"/>
      <c r="I19" s="37"/>
      <c r="J19" s="38"/>
    </row>
    <row r="20" spans="1:10" ht="12.75">
      <c r="A20" s="42" t="s">
        <v>1</v>
      </c>
      <c r="B20" s="42" t="s">
        <v>2</v>
      </c>
      <c r="C20" s="42" t="s">
        <v>3</v>
      </c>
      <c r="D20" s="43" t="s">
        <v>4</v>
      </c>
      <c r="E20" s="42" t="s">
        <v>5</v>
      </c>
      <c r="F20" s="36" t="s">
        <v>6</v>
      </c>
      <c r="G20" s="37"/>
      <c r="H20" s="37"/>
      <c r="I20" s="38"/>
      <c r="J20" s="39" t="s">
        <v>7</v>
      </c>
    </row>
    <row r="21" spans="1:10" ht="12.75">
      <c r="A21" s="40"/>
      <c r="B21" s="40"/>
      <c r="C21" s="40"/>
      <c r="D21" s="40"/>
      <c r="E21" s="40"/>
      <c r="F21" s="1" t="s">
        <v>8</v>
      </c>
      <c r="G21" s="1" t="s">
        <v>9</v>
      </c>
      <c r="H21" s="1" t="s">
        <v>10</v>
      </c>
      <c r="I21" s="1" t="s">
        <v>11</v>
      </c>
      <c r="J21" s="40"/>
    </row>
    <row r="22" spans="1:10" ht="12.75">
      <c r="A22" s="2" t="s">
        <v>12</v>
      </c>
      <c r="B22" s="3">
        <v>1393.6</v>
      </c>
      <c r="C22" s="3">
        <f t="shared" ref="C22:C25" si="8">B22/2</f>
        <v>696.8</v>
      </c>
      <c r="D22" s="44">
        <f>D4/2</f>
        <v>293.39</v>
      </c>
      <c r="E22" s="4">
        <v>2.5</v>
      </c>
      <c r="F22" s="25">
        <f t="shared" ref="F22:F25" si="9">(E22-0.5)*$G$8+(C22+D22)</f>
        <v>3202.59</v>
      </c>
      <c r="G22" s="6">
        <f>(E22*B22+$D$4)-F22</f>
        <v>868.1899999999996</v>
      </c>
      <c r="H22" s="7">
        <v>0</v>
      </c>
      <c r="I22" s="8">
        <f t="shared" ref="I22:I25" si="10">($G$9/22)*H22</f>
        <v>0</v>
      </c>
      <c r="J22" s="9">
        <f t="shared" ref="J22:J25" si="11">B22*E22+$D$22-G22-I22</f>
        <v>2909.2000000000003</v>
      </c>
    </row>
    <row r="23" spans="1:10" ht="12.75">
      <c r="A23" s="10" t="s">
        <v>13</v>
      </c>
      <c r="B23" s="11">
        <v>880.17</v>
      </c>
      <c r="C23" s="11">
        <f t="shared" si="8"/>
        <v>440.08499999999998</v>
      </c>
      <c r="D23" s="45"/>
      <c r="E23" s="4">
        <v>2.5</v>
      </c>
      <c r="F23" s="25">
        <f t="shared" si="9"/>
        <v>2652.4850000000001</v>
      </c>
      <c r="G23" s="13"/>
      <c r="H23" s="7">
        <v>0</v>
      </c>
      <c r="I23" s="14">
        <f t="shared" si="10"/>
        <v>0</v>
      </c>
      <c r="J23" s="15">
        <f t="shared" si="11"/>
        <v>2493.8149999999996</v>
      </c>
    </row>
    <row r="24" spans="1:10" ht="12.75">
      <c r="A24" s="16" t="s">
        <v>14</v>
      </c>
      <c r="B24" s="11">
        <v>806.82</v>
      </c>
      <c r="C24" s="11">
        <f t="shared" si="8"/>
        <v>403.41</v>
      </c>
      <c r="D24" s="45"/>
      <c r="E24" s="4">
        <v>2.5</v>
      </c>
      <c r="F24" s="29">
        <f t="shared" si="9"/>
        <v>2615.81</v>
      </c>
      <c r="G24" s="13"/>
      <c r="H24" s="7">
        <v>0</v>
      </c>
      <c r="I24" s="14">
        <f t="shared" si="10"/>
        <v>0</v>
      </c>
      <c r="J24" s="15">
        <f t="shared" si="11"/>
        <v>2310.44</v>
      </c>
    </row>
    <row r="25" spans="1:10" ht="12.75">
      <c r="A25" s="17" t="s">
        <v>15</v>
      </c>
      <c r="B25" s="18">
        <v>660.13</v>
      </c>
      <c r="C25" s="18">
        <f t="shared" si="8"/>
        <v>330.065</v>
      </c>
      <c r="D25" s="46"/>
      <c r="E25" s="4">
        <v>2.5</v>
      </c>
      <c r="F25" s="27">
        <f t="shared" si="9"/>
        <v>2542.4650000000001</v>
      </c>
      <c r="G25" s="28"/>
      <c r="H25" s="7">
        <v>0</v>
      </c>
      <c r="I25" s="21">
        <f t="shared" si="10"/>
        <v>0</v>
      </c>
      <c r="J25" s="22">
        <f t="shared" si="11"/>
        <v>1943.7150000000001</v>
      </c>
    </row>
    <row r="27" spans="1:10" ht="12.75">
      <c r="A27" s="30" t="s">
        <v>20</v>
      </c>
      <c r="B27" s="31"/>
      <c r="C27" s="31"/>
      <c r="D27" s="31"/>
      <c r="E27" s="31"/>
      <c r="F27" s="31"/>
      <c r="G27" s="31"/>
      <c r="H27" s="31"/>
      <c r="I27" s="31"/>
      <c r="J27" s="32"/>
    </row>
    <row r="28" spans="1:10" ht="12.75">
      <c r="A28" s="33"/>
      <c r="B28" s="34"/>
      <c r="C28" s="34"/>
      <c r="D28" s="34"/>
      <c r="E28" s="34"/>
      <c r="F28" s="34"/>
      <c r="G28" s="34"/>
      <c r="H28" s="34"/>
      <c r="I28" s="34"/>
      <c r="J28" s="35"/>
    </row>
  </sheetData>
  <mergeCells count="30">
    <mergeCell ref="D22:D25"/>
    <mergeCell ref="E12:E13"/>
    <mergeCell ref="A1:J1"/>
    <mergeCell ref="A2:A3"/>
    <mergeCell ref="B2:B3"/>
    <mergeCell ref="C2:C3"/>
    <mergeCell ref="E2:E3"/>
    <mergeCell ref="F2:I2"/>
    <mergeCell ref="J2:J3"/>
    <mergeCell ref="D2:D3"/>
    <mergeCell ref="D4:D7"/>
    <mergeCell ref="G8:H8"/>
    <mergeCell ref="G9:H9"/>
    <mergeCell ref="A11:J11"/>
    <mergeCell ref="A27:J28"/>
    <mergeCell ref="F20:I20"/>
    <mergeCell ref="J20:J21"/>
    <mergeCell ref="J12:J13"/>
    <mergeCell ref="A19:J19"/>
    <mergeCell ref="A20:A21"/>
    <mergeCell ref="B20:B21"/>
    <mergeCell ref="C20:C21"/>
    <mergeCell ref="D20:D21"/>
    <mergeCell ref="E20:E21"/>
    <mergeCell ref="F12:I12"/>
    <mergeCell ref="A12:A13"/>
    <mergeCell ref="B12:B13"/>
    <mergeCell ref="C12:C13"/>
    <mergeCell ref="D12:D13"/>
    <mergeCell ref="D14:D1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johnson teixeira do nascimento</dc:creator>
  <cp:keywords/>
  <dc:description/>
  <cp:lastModifiedBy/>
  <cp:revision/>
  <dcterms:created xsi:type="dcterms:W3CDTF">2025-09-29T21:45:50Z</dcterms:created>
  <dcterms:modified xsi:type="dcterms:W3CDTF">2026-02-24T03:23:39Z</dcterms:modified>
  <cp:category/>
  <cp:contentStatus/>
</cp:coreProperties>
</file>